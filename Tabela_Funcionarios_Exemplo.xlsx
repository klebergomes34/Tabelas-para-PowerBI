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D\Downloads\"/>
    </mc:Choice>
  </mc:AlternateContent>
  <xr:revisionPtr revIDLastSave="0" documentId="13_ncr:1_{8F115BFE-E862-4D01-AAF3-C8B96C9A36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uncionarios" sheetId="1" r:id="rId1"/>
    <sheet name="Gráficos e tabelas dinâmicas" sheetId="3" r:id="rId2"/>
    <sheet name="DashBoard" sheetId="5" r:id="rId3"/>
  </sheets>
  <definedNames>
    <definedName name="SegmentaçãodeDados_Ano">#N/A</definedName>
    <definedName name="SegmentaçãodeDados_Setor">#N/A</definedName>
    <definedName name="SegmentaçãodeDados_Unidade">#N/A</definedName>
  </definedNames>
  <calcPr calcId="0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<sst xmlns="http://schemas.openxmlformats.org/spreadsheetml/2006/main" count="246" uniqueCount="109">
  <si>
    <t>Unidade</t>
  </si>
  <si>
    <t>Funcionário</t>
  </si>
  <si>
    <t>Setor</t>
  </si>
  <si>
    <t>Data</t>
  </si>
  <si>
    <t>Horário Entrada</t>
  </si>
  <si>
    <t>Horário Saída</t>
  </si>
  <si>
    <t>Horas Trabalhadas</t>
  </si>
  <si>
    <t>Horas Extras</t>
  </si>
  <si>
    <t>Valor a Receber</t>
  </si>
  <si>
    <t>Ano</t>
  </si>
  <si>
    <t>Mês</t>
  </si>
  <si>
    <t>São Paulo</t>
  </si>
  <si>
    <t>Bruno</t>
  </si>
  <si>
    <t>RH</t>
  </si>
  <si>
    <t>27/10/2023</t>
  </si>
  <si>
    <t>07:45:00</t>
  </si>
  <si>
    <t>18:10:48</t>
  </si>
  <si>
    <t>10:25:48</t>
  </si>
  <si>
    <t>00:25:48</t>
  </si>
  <si>
    <t>Out</t>
  </si>
  <si>
    <t>Salvador</t>
  </si>
  <si>
    <t>Elisa</t>
  </si>
  <si>
    <t>Comercial</t>
  </si>
  <si>
    <t>12/10/2022</t>
  </si>
  <si>
    <t>08:00:00</t>
  </si>
  <si>
    <t>18:00:00</t>
  </si>
  <si>
    <t>10:00:00</t>
  </si>
  <si>
    <t>00:00:00</t>
  </si>
  <si>
    <t>Rio de Janeiro</t>
  </si>
  <si>
    <t>Caio</t>
  </si>
  <si>
    <t>11/12/2023</t>
  </si>
  <si>
    <t>07:30:00</t>
  </si>
  <si>
    <t>18:14:24</t>
  </si>
  <si>
    <t>10:44:24</t>
  </si>
  <si>
    <t>00:44:24</t>
  </si>
  <si>
    <t>Dez</t>
  </si>
  <si>
    <t>Gabriel</t>
  </si>
  <si>
    <t>Financeiro</t>
  </si>
  <si>
    <t>12/04/2022</t>
  </si>
  <si>
    <t>Abr</t>
  </si>
  <si>
    <t>Fortaleza</t>
  </si>
  <si>
    <t>Anderson</t>
  </si>
  <si>
    <t>19/03/2022</t>
  </si>
  <si>
    <t>Mar</t>
  </si>
  <si>
    <t>Vitória</t>
  </si>
  <si>
    <t>01/11/2023</t>
  </si>
  <si>
    <t>07:40:48</t>
  </si>
  <si>
    <t>18:12:40</t>
  </si>
  <si>
    <t>10:31:52</t>
  </si>
  <si>
    <t>00:31:52</t>
  </si>
  <si>
    <t>Nov</t>
  </si>
  <si>
    <t>Debora</t>
  </si>
  <si>
    <t>27/10/2022</t>
  </si>
  <si>
    <t>08:01:45</t>
  </si>
  <si>
    <t>10:12:39</t>
  </si>
  <si>
    <t>00:12:39</t>
  </si>
  <si>
    <t>10/10/2023</t>
  </si>
  <si>
    <t>10:14:24</t>
  </si>
  <si>
    <t>00:14:24</t>
  </si>
  <si>
    <t>Maria</t>
  </si>
  <si>
    <t>TI</t>
  </si>
  <si>
    <t>28/01/2022</t>
  </si>
  <si>
    <t>18:07:55</t>
  </si>
  <si>
    <t>10:07:55</t>
  </si>
  <si>
    <t>00:07:55</t>
  </si>
  <si>
    <t>Jan</t>
  </si>
  <si>
    <t>Olivia</t>
  </si>
  <si>
    <t>18/02/2022</t>
  </si>
  <si>
    <t>Fev</t>
  </si>
  <si>
    <t>Paula</t>
  </si>
  <si>
    <t>23/05/2022</t>
  </si>
  <si>
    <t>10:19:12</t>
  </si>
  <si>
    <t>00:19:12</t>
  </si>
  <si>
    <t>Mai</t>
  </si>
  <si>
    <t>Raquel</t>
  </si>
  <si>
    <t>16/11/2022</t>
  </si>
  <si>
    <t>18:05:02</t>
  </si>
  <si>
    <t>10:24:14</t>
  </si>
  <si>
    <t>00:24:14</t>
  </si>
  <si>
    <t>25/06/2022</t>
  </si>
  <si>
    <t>Jun</t>
  </si>
  <si>
    <t>Igor</t>
  </si>
  <si>
    <t>29/11/2023</t>
  </si>
  <si>
    <t>07:48:41</t>
  </si>
  <si>
    <t>18:28:48</t>
  </si>
  <si>
    <t>10:40:07</t>
  </si>
  <si>
    <t>00:40:07</t>
  </si>
  <si>
    <t>Junior</t>
  </si>
  <si>
    <t>29/06/2023</t>
  </si>
  <si>
    <t>10:05:02</t>
  </si>
  <si>
    <t>00:05:02</t>
  </si>
  <si>
    <t>João</t>
  </si>
  <si>
    <t>23/08/2022</t>
  </si>
  <si>
    <t>10:16:22</t>
  </si>
  <si>
    <t>00:16:22</t>
  </si>
  <si>
    <t>Ago</t>
  </si>
  <si>
    <t>Thais</t>
  </si>
  <si>
    <t>05/01/2022</t>
  </si>
  <si>
    <t>08/09/2022</t>
  </si>
  <si>
    <t>Set</t>
  </si>
  <si>
    <t>27/09/2022</t>
  </si>
  <si>
    <t>15/04/2022</t>
  </si>
  <si>
    <t>03/10/2022</t>
  </si>
  <si>
    <t>07:28:00</t>
  </si>
  <si>
    <t>10:39:55</t>
  </si>
  <si>
    <t>00:39:55</t>
  </si>
  <si>
    <t>Total Geral</t>
  </si>
  <si>
    <t>Soma de Valor a Receber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</si>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</sst>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164" formatCode="\R\$\ #,##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Custo de horas extras por Funcionário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'Gráficos e tabelas dinâmicas'!$D$2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'Gráficos e tabelas dinâmicas'!$C$3:$C$18</c:f>
              <c:strCache>
                <c:ptCount val="15"/>
                <c:pt idx="0">
                  <c:v>Anderson</c:v>
                </c:pt>
                <c:pt idx="1">
                  <c:v>Bruno</c:v>
                </c:pt>
                <c:pt idx="2">
                  <c:v>Caio</c:v>
                </c:pt>
                <c:pt idx="3">
                  <c:v>Debora</c:v>
                </c:pt>
                <c:pt idx="4">
                  <c:v>Elisa</c:v>
                </c:pt>
                <c:pt idx="5">
                  <c:v>Gabriel</c:v>
                </c:pt>
                <c:pt idx="6">
                  <c:v>Igor</c:v>
                </c:pt>
                <c:pt idx="7">
                  <c:v>João</c:v>
                </c:pt>
                <c:pt idx="8">
                  <c:v>Junior</c:v>
                </c:pt>
                <c:pt idx="9">
                  <c:v>Maria</c:v>
                </c:pt>
                <c:pt idx="10">
                  <c:v>Olivia</c:v>
                </c:pt>
                <c:pt idx="11">
                  <c:v>Paula</c:v>
                </c:pt>
                <c:pt idx="12">
                  <c:v>Raquel</c:v>
                </c:pt>
                <c:pt idx="13">
                  <c:v>Thais</c:v>
                </c:pt>
                <c:pt idx="14">
                  <c:v>Vitória</c:v>
                </c:pt>
              </c:strCache>
            </c:strRef>
          </c:cat>
          <c:val>
            <c:numRef>
              <c:f>'Gráficos e tabelas dinâmicas'!$D$3:$D$18</c:f>
              <c:numCache>
                <c:formatCode>\R\$\ #,##0.00</c:formatCode>
                <c:ptCount val="15"/>
                <c:pt idx="0">
                  <c:v>0</c:v>
                </c:pt>
                <c:pt idx="1">
                  <c:v>8.5500000000000007</c:v>
                </c:pt>
                <c:pt idx="2">
                  <c:v>14.72</c:v>
                </c:pt>
                <c:pt idx="3">
                  <c:v>11.059999999999999</c:v>
                </c:pt>
                <c:pt idx="4">
                  <c:v>5.57</c:v>
                </c:pt>
                <c:pt idx="5">
                  <c:v>0</c:v>
                </c:pt>
                <c:pt idx="6">
                  <c:v>14.18</c:v>
                </c:pt>
                <c:pt idx="7">
                  <c:v>6.69</c:v>
                </c:pt>
                <c:pt idx="8">
                  <c:v>18.38</c:v>
                </c:pt>
                <c:pt idx="9">
                  <c:v>7.89</c:v>
                </c:pt>
                <c:pt idx="10">
                  <c:v>0</c:v>
                </c:pt>
                <c:pt idx="11">
                  <c:v>6.36</c:v>
                </c:pt>
                <c:pt idx="12">
                  <c:v>9.91</c:v>
                </c:pt>
                <c:pt idx="13">
                  <c:v>1.78</c:v>
                </c:pt>
                <c:pt idx="14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E-42F2-AD06-0F7048AFBC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4259712"/>
        <c:axId val="1584266432"/>
      </c:lineChart>
      <c:catAx>
        <c:axId val="158425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266432"/>
        <c:crosses val="autoZero"/>
        <c:auto val="1"/>
        <c:lblAlgn val="ctr"/>
        <c:lblOffset val="100"/>
        <c:noMultiLvlLbl val="0"/>
      </c:catAx>
      <c:valAx>
        <c:axId val="1584266432"/>
        <c:scaling>
          <c:orientation val="minMax"/>
        </c:scaling>
        <c:delete val="0"/>
        <c:axPos val="l"/>
        <c:numFmt formatCode="\R\$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2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0070C0"/>
                </a:solidFill>
              </a:rPr>
              <a:t>CUSTO DE HORAS EXTRAS 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e tabelas dinâmicas'!$F$2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'Gráficos e tabelas dinâmicas'!$E$3:$E$7</c:f>
              <c:strCache>
                <c:ptCount val="4"/>
                <c:pt idx="0">
                  <c:v>Comercial</c:v>
                </c:pt>
                <c:pt idx="1">
                  <c:v>Financeiro</c:v>
                </c:pt>
                <c:pt idx="2">
                  <c:v>RH</c:v>
                </c:pt>
                <c:pt idx="3">
                  <c:v>TI</c:v>
                </c:pt>
              </c:strCache>
            </c:strRef>
          </c:cat>
          <c:val>
            <c:numRef>
              <c:f>'Gráficos e tabelas dinâmicas'!$F$3:$F$7</c:f>
              <c:numCache>
                <c:formatCode>\R\$\ #,##0.00</c:formatCode>
                <c:ptCount val="4"/>
                <c:pt idx="0">
                  <c:v>53.13</c:v>
                </c:pt>
                <c:pt idx="1">
                  <c:v>1.78</c:v>
                </c:pt>
                <c:pt idx="2">
                  <c:v>29.09</c:v>
                </c:pt>
                <c:pt idx="3">
                  <c:v>42.870000000000005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C-4CC7-8B8D-6146D0FB3E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91876368"/>
        <c:axId val="1591875408"/>
      </c:barChart>
      <c:catAx>
        <c:axId val="159187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75408"/>
        <c:crosses val="autoZero"/>
        <c:auto val="1"/>
        <c:lblAlgn val="ctr"/>
        <c:lblOffset val="100"/>
        <c:noMultiLvlLbl val="0"/>
      </c:catAx>
      <c:valAx>
        <c:axId val="1591875408"/>
        <c:scaling>
          <c:orientation val="minMax"/>
        </c:scaling>
        <c:delete val="1"/>
        <c:axPos val="l"/>
        <c:numFmt formatCode="\R\$\ #,##0.00" sourceLinked="1"/>
        <c:majorTickMark val="none"/>
        <c:minorTickMark val="none"/>
        <c:tickLblPos val="nextTo"/>
        <c:crossAx val="159187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'Gráficos e tabelas dinâmicas'!$D$20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'Gráficos e tabelas dinâmicas'!$C$21:$C$25</c:f>
              <c:strCache>
                <c:ptCount val="4"/>
                <c:pt idx="0">
                  <c:v>Fortaleza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'Gráficos e tabelas dinâmicas'!$D$21:$D$25</c:f>
              <c:numCache>
                <c:formatCode>\R\$\ #,##0.00</c:formatCode>
                <c:ptCount val="4"/>
                <c:pt idx="0">
                  <c:v>35.15</c:v>
                </c:pt>
                <c:pt idx="1">
                  <c:v>16.5</c:v>
                </c:pt>
                <c:pt idx="2">
                  <c:v>20.150000000000002</c:v>
                </c:pt>
                <c:pt idx="3">
                  <c:v>55.069999999999993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4-45B5-9698-E4B933E2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1916208"/>
        <c:axId val="1591918128"/>
        <c:axId val="0"/>
      </c:bar3DChart>
      <c:catAx>
        <c:axId val="159191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918128"/>
        <c:crosses val="autoZero"/>
        <c:auto val="1"/>
        <c:lblAlgn val="ctr"/>
        <c:lblOffset val="100"/>
        <c:noMultiLvlLbl val="0"/>
      </c:catAx>
      <c:valAx>
        <c:axId val="159191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9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cap="all" spc="0" baseline="0">
                <a:solidFill>
                  <a:srgbClr val="0070C0"/>
                </a:solidFill>
              </a:rPr>
              <a:t>Custo de horas </a:t>
            </a:r>
            <a:r>
              <a:rPr lang="en-US" sz="1400" b="0" i="0" u="none" strike="noStrike" kern="1200" cap="all" spc="0" baseline="0">
                <a:solidFill>
                  <a:srgbClr val="0070C0"/>
                </a:solidFill>
              </a:rPr>
              <a:t>extras</a:t>
            </a:r>
            <a:r>
              <a:rPr lang="en-US" sz="1600" b="0" i="0" u="none" strike="noStrike" kern="1200" cap="all" spc="0" baseline="0">
                <a:solidFill>
                  <a:srgbClr val="0070C0"/>
                </a:solidFill>
              </a:rPr>
              <a:t> por MÊS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7935411198600176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'Gráficos e tabelas dinâmicas'!$F$13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'Gráficos e tabelas dinâmicas'!$E$14:$E$25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'Gráficos e tabelas dinâmicas'!$F$14:$F$25</c:f>
              <c:numCache>
                <c:formatCode>\R\$\ #,##0.00</c:formatCode>
                <c:ptCount val="11"/>
                <c:pt idx="0">
                  <c:v>4.58</c:v>
                </c:pt>
                <c:pt idx="1">
                  <c:v>0</c:v>
                </c:pt>
                <c:pt idx="2">
                  <c:v>0</c:v>
                </c:pt>
                <c:pt idx="3">
                  <c:v>6.69</c:v>
                </c:pt>
                <c:pt idx="4">
                  <c:v>6.36</c:v>
                </c:pt>
                <c:pt idx="5">
                  <c:v>7.9499999999999993</c:v>
                </c:pt>
                <c:pt idx="6">
                  <c:v>6.69</c:v>
                </c:pt>
                <c:pt idx="7">
                  <c:v>7.15</c:v>
                </c:pt>
                <c:pt idx="8">
                  <c:v>35.61</c:v>
                </c:pt>
                <c:pt idx="9">
                  <c:v>37.119999999999997</c:v>
                </c:pt>
                <c:pt idx="10">
                  <c:v>14.72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5-4B1A-B490-554468CC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91847088"/>
        <c:axId val="1591848048"/>
        <c:axId val="0"/>
      </c:bar3DChart>
      <c:catAx>
        <c:axId val="15918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48048"/>
        <c:crosses val="autoZero"/>
        <c:auto val="1"/>
        <c:lblAlgn val="ctr"/>
        <c:lblOffset val="100"/>
        <c:noMultiLvlLbl val="0"/>
      </c:catAx>
      <c:valAx>
        <c:axId val="15918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70C0"/>
                </a:solidFill>
              </a:rPr>
              <a:t>Custo de horas extras por Funcionário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'Gráficos e tabelas dinâmicas'!$D$2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'Gráficos e tabelas dinâmicas'!$C$3:$C$18</c:f>
              <c:strCache>
                <c:ptCount val="15"/>
                <c:pt idx="0">
                  <c:v>Anderson</c:v>
                </c:pt>
                <c:pt idx="1">
                  <c:v>Bruno</c:v>
                </c:pt>
                <c:pt idx="2">
                  <c:v>Caio</c:v>
                </c:pt>
                <c:pt idx="3">
                  <c:v>Debora</c:v>
                </c:pt>
                <c:pt idx="4">
                  <c:v>Elisa</c:v>
                </c:pt>
                <c:pt idx="5">
                  <c:v>Gabriel</c:v>
                </c:pt>
                <c:pt idx="6">
                  <c:v>Igor</c:v>
                </c:pt>
                <c:pt idx="7">
                  <c:v>João</c:v>
                </c:pt>
                <c:pt idx="8">
                  <c:v>Junior</c:v>
                </c:pt>
                <c:pt idx="9">
                  <c:v>Maria</c:v>
                </c:pt>
                <c:pt idx="10">
                  <c:v>Olivia</c:v>
                </c:pt>
                <c:pt idx="11">
                  <c:v>Paula</c:v>
                </c:pt>
                <c:pt idx="12">
                  <c:v>Raquel</c:v>
                </c:pt>
                <c:pt idx="13">
                  <c:v>Thais</c:v>
                </c:pt>
                <c:pt idx="14">
                  <c:v>Vitória</c:v>
                </c:pt>
              </c:strCache>
            </c:strRef>
          </c:cat>
          <c:val>
            <c:numRef>
              <c:f>'Gráficos e tabelas dinâmicas'!$D$3:$D$18</c:f>
              <c:numCache>
                <c:formatCode>\R\$\ #,##0.00</c:formatCode>
                <c:ptCount val="15"/>
                <c:pt idx="0">
                  <c:v>0</c:v>
                </c:pt>
                <c:pt idx="1">
                  <c:v>8.5500000000000007</c:v>
                </c:pt>
                <c:pt idx="2">
                  <c:v>14.72</c:v>
                </c:pt>
                <c:pt idx="3">
                  <c:v>11.059999999999999</c:v>
                </c:pt>
                <c:pt idx="4">
                  <c:v>5.57</c:v>
                </c:pt>
                <c:pt idx="5">
                  <c:v>0</c:v>
                </c:pt>
                <c:pt idx="6">
                  <c:v>14.18</c:v>
                </c:pt>
                <c:pt idx="7">
                  <c:v>6.69</c:v>
                </c:pt>
                <c:pt idx="8">
                  <c:v>18.38</c:v>
                </c:pt>
                <c:pt idx="9">
                  <c:v>7.89</c:v>
                </c:pt>
                <c:pt idx="10">
                  <c:v>0</c:v>
                </c:pt>
                <c:pt idx="11">
                  <c:v>6.36</c:v>
                </c:pt>
                <c:pt idx="12">
                  <c:v>9.91</c:v>
                </c:pt>
                <c:pt idx="13">
                  <c:v>1.78</c:v>
                </c:pt>
                <c:pt idx="14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5-4539-88AA-5D38E949D7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4259712"/>
        <c:axId val="1584266432"/>
      </c:lineChart>
      <c:catAx>
        <c:axId val="158425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266432"/>
        <c:crosses val="autoZero"/>
        <c:auto val="1"/>
        <c:lblAlgn val="ctr"/>
        <c:lblOffset val="100"/>
        <c:noMultiLvlLbl val="0"/>
      </c:catAx>
      <c:valAx>
        <c:axId val="1584266432"/>
        <c:scaling>
          <c:orientation val="minMax"/>
        </c:scaling>
        <c:delete val="0"/>
        <c:axPos val="l"/>
        <c:numFmt formatCode="\R\$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2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rgbClr val="0070C0"/>
                </a:solidFill>
              </a:rPr>
              <a:t>Custo de horas extras por MÊS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'Gráficos e tabelas dinâmicas'!$F$13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'Gráficos e tabelas dinâmicas'!$E$14:$E$25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'Gráficos e tabelas dinâmicas'!$F$14:$F$25</c:f>
              <c:numCache>
                <c:formatCode>\R\$\ #,##0.00</c:formatCode>
                <c:ptCount val="11"/>
                <c:pt idx="0">
                  <c:v>4.58</c:v>
                </c:pt>
                <c:pt idx="1">
                  <c:v>0</c:v>
                </c:pt>
                <c:pt idx="2">
                  <c:v>0</c:v>
                </c:pt>
                <c:pt idx="3">
                  <c:v>6.69</c:v>
                </c:pt>
                <c:pt idx="4">
                  <c:v>6.36</c:v>
                </c:pt>
                <c:pt idx="5">
                  <c:v>7.9499999999999993</c:v>
                </c:pt>
                <c:pt idx="6">
                  <c:v>6.69</c:v>
                </c:pt>
                <c:pt idx="7">
                  <c:v>7.15</c:v>
                </c:pt>
                <c:pt idx="8">
                  <c:v>35.61</c:v>
                </c:pt>
                <c:pt idx="9">
                  <c:v>37.119999999999997</c:v>
                </c:pt>
                <c:pt idx="10">
                  <c:v>14.72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9-41FF-A450-2D843B9E2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1847088"/>
        <c:axId val="1591848048"/>
        <c:axId val="0"/>
      </c:bar3DChart>
      <c:catAx>
        <c:axId val="15918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48048"/>
        <c:crosses val="autoZero"/>
        <c:auto val="1"/>
        <c:lblAlgn val="ctr"/>
        <c:lblOffset val="100"/>
        <c:noMultiLvlLbl val="0"/>
      </c:catAx>
      <c:valAx>
        <c:axId val="15918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CUSTO DE HORAS EXTRAS 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e tabelas dinâmicas'!$F$2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'Gráficos e tabelas dinâmicas'!$E$3:$E$7</c:f>
              <c:strCache>
                <c:ptCount val="4"/>
                <c:pt idx="0">
                  <c:v>Comercial</c:v>
                </c:pt>
                <c:pt idx="1">
                  <c:v>Financeiro</c:v>
                </c:pt>
                <c:pt idx="2">
                  <c:v>RH</c:v>
                </c:pt>
                <c:pt idx="3">
                  <c:v>TI</c:v>
                </c:pt>
              </c:strCache>
            </c:strRef>
          </c:cat>
          <c:val>
            <c:numRef>
              <c:f>'Gráficos e tabelas dinâmicas'!$F$3:$F$7</c:f>
              <c:numCache>
                <c:formatCode>\R\$\ #,##0.00</c:formatCode>
                <c:ptCount val="4"/>
                <c:pt idx="0">
                  <c:v>53.13</c:v>
                </c:pt>
                <c:pt idx="1">
                  <c:v>1.78</c:v>
                </c:pt>
                <c:pt idx="2">
                  <c:v>29.09</c:v>
                </c:pt>
                <c:pt idx="3">
                  <c:v>42.870000000000005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8-4ABC-8484-390E5D8D40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91876368"/>
        <c:axId val="1591875408"/>
      </c:barChart>
      <c:catAx>
        <c:axId val="159187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75408"/>
        <c:crosses val="autoZero"/>
        <c:auto val="1"/>
        <c:lblAlgn val="ctr"/>
        <c:lblOffset val="100"/>
        <c:noMultiLvlLbl val="0"/>
      </c:catAx>
      <c:valAx>
        <c:axId val="1591875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87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[Tabela_Funcionarios_Exemplo.xlsx]Gráficos e tabelas dinâmicas!Tabela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70C0"/>
                </a:solidFill>
              </a:rPr>
              <a:t>CUSTO</a:t>
            </a:r>
            <a:r>
              <a:rPr lang="en-US" sz="1800" b="1" baseline="0">
                <a:solidFill>
                  <a:srgbClr val="0070C0"/>
                </a:solidFill>
              </a:rPr>
              <a:t> POR MÊS</a:t>
            </a:r>
            <a:endParaRPr lang="en-US" sz="18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'Gráficos e tabelas dinâmicas'!$D$20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'Gráficos e tabelas dinâmicas'!$C$21:$C$25</c:f>
              <c:strCache>
                <c:ptCount val="4"/>
                <c:pt idx="0">
                  <c:v>Fortaleza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'Gráficos e tabelas dinâmicas'!$D$21:$D$25</c:f>
              <c:numCache>
                <c:formatCode>\R\$\ #,##0.00</c:formatCode>
                <c:ptCount val="4"/>
                <c:pt idx="0">
                  <c:v>35.15</c:v>
                </c:pt>
                <c:pt idx="1">
                  <c:v>16.5</c:v>
                </c:pt>
                <c:pt idx="2">
                  <c:v>20.150000000000002</c:v>
                </c:pt>
                <c:pt idx="3">
                  <c:v>55.069999999999993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0-4418-90C0-3448CA8E0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1916208"/>
        <c:axId val="1591918128"/>
        <c:axId val="0"/>
      </c:bar3DChart>
      <c:catAx>
        <c:axId val="159191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918128"/>
        <c:crosses val="autoZero"/>
        <c:auto val="1"/>
        <c:lblAlgn val="ctr"/>
        <c:lblOffset val="100"/>
        <c:noMultiLvlLbl val="0"/>
      </c:catAx>
      <c:valAx>
        <c:axId val="159191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19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53340</xdr:rowOff>
    </xdr:from>
    <xdr:to>
      <xdr:col>1</xdr:col>
      <xdr:colOff>274320</xdr:colOff>
      <xdr:row>20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tor">
              <a:extLst>
                <a:ext uri="{FF2B5EF4-FFF2-40B4-BE49-F238E27FC236}">
                  <a16:creationId xmlns:a16="http://schemas.microsoft.com/office/drawing/2014/main" id="{A6FB859F-4298-A726-12F4-59B86FE431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82140"/>
              <a:ext cx="1455420" cy="1788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19274</xdr:colOff>
      <xdr:row>0</xdr:row>
      <xdr:rowOff>156434</xdr:rowOff>
    </xdr:from>
    <xdr:to>
      <xdr:col>8</xdr:col>
      <xdr:colOff>1200374</xdr:colOff>
      <xdr:row>13</xdr:row>
      <xdr:rowOff>7619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AF33EC-DE31-B047-97B5-C3933AB03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167641</xdr:rowOff>
    </xdr:from>
    <xdr:to>
      <xdr:col>1</xdr:col>
      <xdr:colOff>289560</xdr:colOff>
      <xdr:row>10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Unidade">
              <a:extLst>
                <a:ext uri="{FF2B5EF4-FFF2-40B4-BE49-F238E27FC236}">
                  <a16:creationId xmlns:a16="http://schemas.microsoft.com/office/drawing/2014/main" id="{FA8E094B-8D51-BF27-C2AF-B1093C9F90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7641"/>
              <a:ext cx="147066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20</xdr:row>
      <xdr:rowOff>7620</xdr:rowOff>
    </xdr:from>
    <xdr:to>
      <xdr:col>1</xdr:col>
      <xdr:colOff>281940</xdr:colOff>
      <xdr:row>27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1">
              <a:extLst>
                <a:ext uri="{FF2B5EF4-FFF2-40B4-BE49-F238E27FC236}">
                  <a16:creationId xmlns:a16="http://schemas.microsoft.com/office/drawing/2014/main" id="{7113DA96-E0FC-0196-E578-8859833A83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3665220"/>
              <a:ext cx="1447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8964</xdr:colOff>
      <xdr:row>13</xdr:row>
      <xdr:rowOff>13447</xdr:rowOff>
    </xdr:from>
    <xdr:to>
      <xdr:col>8</xdr:col>
      <xdr:colOff>1136724</xdr:colOff>
      <xdr:row>25</xdr:row>
      <xdr:rowOff>17929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A43D9C1-0BD3-A258-C97D-9EED685D0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1176618</xdr:colOff>
      <xdr:row>16</xdr:row>
      <xdr:rowOff>18826</xdr:rowOff>
    </xdr:from>
    <xdr:to>
      <xdr:col>14</xdr:col>
      <xdr:colOff>170330</xdr:colOff>
      <xdr:row>28</xdr:row>
      <xdr:rowOff>26446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0E80E2D-FDF8-161B-DA28-5EF64B4C9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1216511</xdr:colOff>
      <xdr:row>0</xdr:row>
      <xdr:rowOff>164950</xdr:rowOff>
    </xdr:from>
    <xdr:to>
      <xdr:col>14</xdr:col>
      <xdr:colOff>149711</xdr:colOff>
      <xdr:row>15</xdr:row>
      <xdr:rowOff>164950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B31996D-44EF-0A26-6011-97B967C92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596900</xdr:colOff>
      <xdr:row>38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CF63DE8-A3C3-1283-66B9-6666BB0B50C8}"/>
            </a:ext>
          </a:extLst>
        </xdr:cNvPr>
        <xdr:cNvSpPr/>
      </xdr:nvSpPr>
      <xdr:spPr>
        <a:xfrm>
          <a:off x="0" y="0"/>
          <a:ext cx="15227300" cy="6813176"/>
        </a:xfrm>
        <a:prstGeom prst="rect">
          <a:avLst/>
        </a:prstGeom>
        <a:solidFill>
          <a:srgbClr val="002060"/>
        </a:solidFill>
        <a:ln>
          <a:solidFill>
            <a:schemeClr val="tx2">
              <a:lumMod val="20000"/>
              <a:lumOff val="80000"/>
            </a:schemeClr>
          </a:solidFill>
        </a:ln>
        <a:effectLst>
          <a:softEdge rad="317500"/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blipFill>
              <a:blip xmlns:r="http://schemas.openxmlformats.org/officeDocument/2006/relationships" r:embed="rId1"/>
              <a:tile tx="0" ty="0" sx="100000" sy="100000" flip="none" algn="tl"/>
            </a:blipFill>
          </a:endParaRPr>
        </a:p>
      </xdr:txBody>
    </xdr:sp>
    <xdr:clientData/>
  </xdr:twoCellAnchor>
  <xdr:twoCellAnchor>
    <xdr:from>
      <xdr:col>2</xdr:col>
      <xdr:colOff>515155</xdr:colOff>
      <xdr:row>6</xdr:row>
      <xdr:rowOff>167640</xdr:rowOff>
    </xdr:from>
    <xdr:to>
      <xdr:col>10</xdr:col>
      <xdr:colOff>489184</xdr:colOff>
      <xdr:row>19</xdr:row>
      <xdr:rowOff>122296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E7ED7F-12D6-401E-B42A-4ADCEC48B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65852</xdr:colOff>
      <xdr:row>6</xdr:row>
      <xdr:rowOff>168891</xdr:rowOff>
    </xdr:from>
    <xdr:to>
      <xdr:col>2</xdr:col>
      <xdr:colOff>233492</xdr:colOff>
      <xdr:row>16</xdr:row>
      <xdr:rowOff>150076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nidade 1">
              <a:extLst>
                <a:ext uri="{FF2B5EF4-FFF2-40B4-BE49-F238E27FC236}">
                  <a16:creationId xmlns:a16="http://schemas.microsoft.com/office/drawing/2014/main" id="{03C023A2-CF4D-4ACE-8A70-C84C8FDE0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52" y="1244656"/>
              <a:ext cx="1386840" cy="1774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56445</xdr:colOff>
      <xdr:row>17</xdr:row>
      <xdr:rowOff>22784</xdr:rowOff>
    </xdr:from>
    <xdr:to>
      <xdr:col>2</xdr:col>
      <xdr:colOff>231705</xdr:colOff>
      <xdr:row>26</xdr:row>
      <xdr:rowOff>175642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tor 1">
              <a:extLst>
                <a:ext uri="{FF2B5EF4-FFF2-40B4-BE49-F238E27FC236}">
                  <a16:creationId xmlns:a16="http://schemas.microsoft.com/office/drawing/2014/main" id="{F7A07904-D78F-4687-ABF2-2715C911E8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45" y="3070784"/>
              <a:ext cx="1394460" cy="176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56445</xdr:colOff>
      <xdr:row>27</xdr:row>
      <xdr:rowOff>60059</xdr:rowOff>
    </xdr:from>
    <xdr:to>
      <xdr:col>2</xdr:col>
      <xdr:colOff>231705</xdr:colOff>
      <xdr:row>33</xdr:row>
      <xdr:rowOff>60059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2">
              <a:extLst>
                <a:ext uri="{FF2B5EF4-FFF2-40B4-BE49-F238E27FC236}">
                  <a16:creationId xmlns:a16="http://schemas.microsoft.com/office/drawing/2014/main" id="{4546CEB8-4EF3-46FD-8D25-52A79E73B1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45" y="4901000"/>
              <a:ext cx="1394460" cy="1075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489185</xdr:colOff>
      <xdr:row>20</xdr:row>
      <xdr:rowOff>152399</xdr:rowOff>
    </xdr:from>
    <xdr:to>
      <xdr:col>10</xdr:col>
      <xdr:colOff>489185</xdr:colOff>
      <xdr:row>33</xdr:row>
      <xdr:rowOff>62752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F89FDB-145C-4BD4-B821-04239D3C4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63293</xdr:colOff>
      <xdr:row>6</xdr:row>
      <xdr:rowOff>159927</xdr:rowOff>
    </xdr:from>
    <xdr:to>
      <xdr:col>19</xdr:col>
      <xdr:colOff>310444</xdr:colOff>
      <xdr:row>19</xdr:row>
      <xdr:rowOff>141111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F08F7C8-8453-4BE2-A2FA-2AABD2D47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100280</xdr:colOff>
      <xdr:row>20</xdr:row>
      <xdr:rowOff>142993</xdr:rowOff>
    </xdr:from>
    <xdr:to>
      <xdr:col>19</xdr:col>
      <xdr:colOff>319852</xdr:colOff>
      <xdr:row>33</xdr:row>
      <xdr:rowOff>62753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1CEBDF-8D5D-4DBC-BA2B-A4C9D1DE7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</xdr:row>
      <xdr:rowOff>68451</xdr:rowOff>
    </xdr:from>
    <xdr:to>
      <xdr:col>20</xdr:col>
      <xdr:colOff>19599</xdr:colOff>
      <xdr:row>5</xdr:row>
      <xdr:rowOff>129665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7A131E0-B370-75F5-4768-9CB878E68B02}"/>
            </a:ext>
          </a:extLst>
        </xdr:cNvPr>
        <xdr:cNvSpPr txBox="1"/>
      </xdr:nvSpPr>
      <xdr:spPr>
        <a:xfrm>
          <a:off x="0" y="247745"/>
          <a:ext cx="12211599" cy="778391"/>
        </a:xfrm>
        <a:prstGeom prst="rect">
          <a:avLst/>
        </a:prstGeom>
        <a:noFill/>
        <a:ln>
          <a:noFill/>
        </a:ln>
        <a:effectLst>
          <a:glow rad="228600">
            <a:schemeClr val="accent1">
              <a:satMod val="175000"/>
              <a:alpha val="40000"/>
            </a:schemeClr>
          </a:glow>
          <a:outerShdw blurRad="76200" dist="12700" dir="8100000" sy="-23000" kx="800400" algn="br" rotWithShape="0">
            <a:prstClr val="black">
              <a:alpha val="20000"/>
            </a:prstClr>
          </a:outerShdw>
          <a:reflection blurRad="6350" stA="50000" endA="300" endPos="38500" dist="50800" dir="5400000" sy="-100000" algn="bl" rotWithShape="0"/>
        </a:effectLst>
        <a:scene3d>
          <a:camera prst="perspectiveRelaxedModerately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r>
            <a:rPr lang="pt-BR" sz="4800" b="1">
              <a:ln>
                <a:solidFill>
                  <a:srgbClr val="002060"/>
                </a:solidFill>
              </a:ln>
              <a:solidFill>
                <a:schemeClr val="bg1"/>
              </a:solidFill>
            </a:rPr>
            <a:t>DASHBOARD DE CONTROLE DE HORAS EXTRAS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" refreshedDate="46227.829307060187" createdVersion="8" refreshedVersion="8" minRefreshableVersion="3" recordCount="21" xr:uid="{C1BBAAE8-029E-41C6-B806-FF6B22668586}">
  <cacheSource type="worksheet">
    <worksheetSource name="Tabela2"/>
  </cacheSource>
  <cacheFields count="11">
    <cacheField name="Unidade" numFmtId="0">
      <sharedItems count="4">
        <s v="São Paulo"/>
        <s v="Salvador"/>
        <s v="Rio de Janeiro"/>
        <s v="Fortaleza"/>
      </sharedItems>
    </cacheField>
    <cacheField name="Funcionário" numFmtId="0">
      <sharedItems count="15">
        <s v="Bruno"/>
        <s v="Elisa"/>
        <s v="Caio"/>
        <s v="Gabriel"/>
        <s v="Anderson"/>
        <s v="Vitória"/>
        <s v="Debora"/>
        <s v="Maria"/>
        <s v="Olivia"/>
        <s v="Paula"/>
        <s v="Raquel"/>
        <s v="Igor"/>
        <s v="Junior"/>
        <s v="João"/>
        <s v="Thais"/>
      </sharedItems>
    </cacheField>
    <cacheField name="Setor" numFmtId="0">
      <sharedItems count="4">
        <s v="RH"/>
        <s v="Comercial"/>
        <s v="Financeiro"/>
        <s v="TI"/>
      </sharedItems>
    </cacheField>
    <cacheField name="Data" numFmtId="0">
      <sharedItems count="21">
        <s v="27/10/2023"/>
        <s v="12/10/2022"/>
        <s v="11/12/2023"/>
        <s v="12/04/2022"/>
        <s v="19/03/2022"/>
        <s v="01/11/2023"/>
        <s v="27/10/2022"/>
        <s v="10/10/2023"/>
        <s v="28/01/2022"/>
        <s v="18/02/2022"/>
        <s v="23/05/2022"/>
        <s v="16/11/2022"/>
        <s v="25/06/2022"/>
        <s v="29/11/2023"/>
        <s v="29/06/2023"/>
        <s v="23/08/2022"/>
        <s v="05/01/2022"/>
        <s v="08/09/2022"/>
        <s v="27/09/2022"/>
        <s v="15/04/2022"/>
        <s v="03/10/2022"/>
      </sharedItems>
    </cacheField>
    <cacheField name="Horário Entrada" numFmtId="0">
      <sharedItems/>
    </cacheField>
    <cacheField name="Horário Saída" numFmtId="0">
      <sharedItems/>
    </cacheField>
    <cacheField name="Horas Trabalhadas" numFmtId="0">
      <sharedItems/>
    </cacheField>
    <cacheField name="Horas Extras" numFmtId="0">
      <sharedItems count="13">
        <s v="00:25:48"/>
        <s v="00:00:00"/>
        <s v="00:44:24"/>
        <s v="00:31:52"/>
        <s v="00:12:39"/>
        <s v="00:14:24"/>
        <s v="00:07:55"/>
        <s v="00:19:12"/>
        <s v="00:24:14"/>
        <s v="00:40:07"/>
        <s v="00:05:02"/>
        <s v="00:16:22"/>
        <s v="00:39:55"/>
      </sharedItems>
    </cacheField>
    <cacheField name="Valor a Receber" numFmtId="164">
      <sharedItems containsSemiMixedTypes="0" containsString="0" containsNumber="1" minValue="0" maxValue="16.32"/>
    </cacheField>
    <cacheField name="Ano" numFmtId="0">
      <sharedItems containsSemiMixedTypes="0" containsString="0" containsNumber="1" containsInteger="1" minValue="2022" maxValue="2023" count="2">
        <n v="2023"/>
        <n v="2022"/>
      </sharedItems>
    </cacheField>
    <cacheField name="Mês" numFmtId="0">
      <sharedItems count="11">
        <s v="Out"/>
        <s v="Dez"/>
        <s v="Abr"/>
        <s v="Mar"/>
        <s v="Nov"/>
        <s v="Jan"/>
        <s v="Fev"/>
        <s v="Mai"/>
        <s v="Jun"/>
        <s v="Ago"/>
        <s v="Set"/>
      </sharedItems>
    </cacheField>
  </cacheFields>
  <extLst>
    <ext xmlns:x14="http://schemas.microsoft.com/office/spreadsheetml/2009/9/main" uri="{725AE2AE-9491-48be-B2B4-4EB974FC3084}">
      <x14:pivotCacheDefinition pivotCacheId="10455855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s v="07:45:00"/>
    <s v="18:10:48"/>
    <s v="10:25:48"/>
    <x v="0"/>
    <n v="8.5500000000000007"/>
    <x v="0"/>
    <x v="0"/>
  </r>
  <r>
    <x v="1"/>
    <x v="1"/>
    <x v="1"/>
    <x v="1"/>
    <s v="08:00:00"/>
    <s v="18:00:00"/>
    <s v="10:00:00"/>
    <x v="1"/>
    <n v="0"/>
    <x v="1"/>
    <x v="0"/>
  </r>
  <r>
    <x v="2"/>
    <x v="2"/>
    <x v="1"/>
    <x v="2"/>
    <s v="07:30:00"/>
    <s v="18:14:24"/>
    <s v="10:44:24"/>
    <x v="2"/>
    <n v="14.72"/>
    <x v="0"/>
    <x v="1"/>
  </r>
  <r>
    <x v="2"/>
    <x v="3"/>
    <x v="2"/>
    <x v="3"/>
    <s v="08:00:00"/>
    <s v="18:00:00"/>
    <s v="10:00:00"/>
    <x v="1"/>
    <n v="0"/>
    <x v="1"/>
    <x v="2"/>
  </r>
  <r>
    <x v="3"/>
    <x v="4"/>
    <x v="0"/>
    <x v="4"/>
    <s v="08:00:00"/>
    <s v="18:00:00"/>
    <s v="10:00:00"/>
    <x v="1"/>
    <n v="0"/>
    <x v="1"/>
    <x v="3"/>
  </r>
  <r>
    <x v="0"/>
    <x v="5"/>
    <x v="1"/>
    <x v="5"/>
    <s v="07:40:48"/>
    <s v="18:12:40"/>
    <s v="10:31:52"/>
    <x v="3"/>
    <n v="13.03"/>
    <x v="0"/>
    <x v="4"/>
  </r>
  <r>
    <x v="3"/>
    <x v="6"/>
    <x v="1"/>
    <x v="6"/>
    <s v="08:01:45"/>
    <s v="18:14:24"/>
    <s v="10:12:39"/>
    <x v="4"/>
    <n v="5.17"/>
    <x v="1"/>
    <x v="0"/>
  </r>
  <r>
    <x v="1"/>
    <x v="1"/>
    <x v="1"/>
    <x v="7"/>
    <s v="08:00:00"/>
    <s v="18:14:24"/>
    <s v="10:14:24"/>
    <x v="5"/>
    <n v="5.57"/>
    <x v="0"/>
    <x v="0"/>
  </r>
  <r>
    <x v="1"/>
    <x v="7"/>
    <x v="3"/>
    <x v="8"/>
    <s v="08:00:00"/>
    <s v="18:07:55"/>
    <s v="10:07:55"/>
    <x v="6"/>
    <n v="2.8"/>
    <x v="1"/>
    <x v="5"/>
  </r>
  <r>
    <x v="1"/>
    <x v="8"/>
    <x v="1"/>
    <x v="9"/>
    <s v="08:00:00"/>
    <s v="18:00:00"/>
    <s v="10:00:00"/>
    <x v="1"/>
    <n v="0"/>
    <x v="1"/>
    <x v="6"/>
  </r>
  <r>
    <x v="0"/>
    <x v="9"/>
    <x v="0"/>
    <x v="10"/>
    <s v="07:40:48"/>
    <s v="18:00:00"/>
    <s v="10:19:12"/>
    <x v="7"/>
    <n v="6.36"/>
    <x v="1"/>
    <x v="7"/>
  </r>
  <r>
    <x v="3"/>
    <x v="10"/>
    <x v="3"/>
    <x v="11"/>
    <s v="07:40:48"/>
    <s v="18:05:02"/>
    <s v="10:24:14"/>
    <x v="8"/>
    <n v="9.91"/>
    <x v="1"/>
    <x v="4"/>
  </r>
  <r>
    <x v="3"/>
    <x v="6"/>
    <x v="1"/>
    <x v="12"/>
    <s v="08:00:00"/>
    <s v="18:14:24"/>
    <s v="10:14:24"/>
    <x v="5"/>
    <n v="5.89"/>
    <x v="1"/>
    <x v="8"/>
  </r>
  <r>
    <x v="3"/>
    <x v="11"/>
    <x v="0"/>
    <x v="13"/>
    <s v="07:48:41"/>
    <s v="18:28:48"/>
    <s v="10:40:07"/>
    <x v="9"/>
    <n v="14.18"/>
    <x v="0"/>
    <x v="4"/>
  </r>
  <r>
    <x v="0"/>
    <x v="12"/>
    <x v="3"/>
    <x v="14"/>
    <s v="08:00:00"/>
    <s v="18:05:02"/>
    <s v="10:05:02"/>
    <x v="10"/>
    <n v="2.06"/>
    <x v="0"/>
    <x v="8"/>
  </r>
  <r>
    <x v="1"/>
    <x v="13"/>
    <x v="3"/>
    <x v="15"/>
    <s v="07:48:41"/>
    <s v="18:05:02"/>
    <s v="10:16:22"/>
    <x v="11"/>
    <n v="6.69"/>
    <x v="1"/>
    <x v="9"/>
  </r>
  <r>
    <x v="2"/>
    <x v="14"/>
    <x v="2"/>
    <x v="16"/>
    <s v="08:00:00"/>
    <s v="18:05:02"/>
    <s v="10:05:02"/>
    <x v="10"/>
    <n v="1.78"/>
    <x v="1"/>
    <x v="5"/>
  </r>
  <r>
    <x v="0"/>
    <x v="5"/>
    <x v="1"/>
    <x v="17"/>
    <s v="08:00:00"/>
    <s v="18:05:02"/>
    <s v="10:05:02"/>
    <x v="10"/>
    <n v="2.06"/>
    <x v="1"/>
    <x v="10"/>
  </r>
  <r>
    <x v="1"/>
    <x v="7"/>
    <x v="3"/>
    <x v="18"/>
    <s v="08:00:00"/>
    <s v="18:14:24"/>
    <s v="10:14:24"/>
    <x v="5"/>
    <n v="5.09"/>
    <x v="1"/>
    <x v="10"/>
  </r>
  <r>
    <x v="0"/>
    <x v="5"/>
    <x v="1"/>
    <x v="19"/>
    <s v="07:48:41"/>
    <s v="18:05:02"/>
    <s v="10:16:22"/>
    <x v="11"/>
    <n v="6.69"/>
    <x v="1"/>
    <x v="2"/>
  </r>
  <r>
    <x v="0"/>
    <x v="12"/>
    <x v="3"/>
    <x v="20"/>
    <s v="07:28:00"/>
    <s v="18:07:55"/>
    <s v="10:39:55"/>
    <x v="12"/>
    <n v="16.3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5DA7F-123D-47C1-AA5D-5BEDF387E7C2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Setor">
  <location ref="E2:F7" firstHeaderRow="1" firstDataRow="1" firstDataCol="1"/>
  <pivotFields count="11">
    <pivotField showAll="0">
      <items count="5">
        <item x="3"/>
        <item x="2"/>
        <item x="1"/>
        <item x="0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4">
        <item x="1"/>
        <item x="10"/>
        <item x="6"/>
        <item x="4"/>
        <item x="5"/>
        <item x="11"/>
        <item x="7"/>
        <item x="8"/>
        <item x="0"/>
        <item x="3"/>
        <item x="12"/>
        <item x="9"/>
        <item x="2"/>
        <item t="default"/>
      </items>
    </pivotField>
    <pivotField dataField="1" numFmtId="164" showAll="0"/>
    <pivotField showAll="0">
      <items count="3">
        <item x="1"/>
        <item x="0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a Receber" fld="8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6F177-95E3-4536-BCB1-4DE445678E5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Local">
  <location ref="C20:D25" firstHeaderRow="1" firstDataRow="1" firstDataCol="1"/>
  <pivotFields count="11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3">
        <item x="1"/>
        <item x="0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a Receber" fld="8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2ECE7-9B3C-4742-90B7-008E28E61CA4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Funcionário">
  <location ref="C2:D18" firstHeaderRow="1" firstDataRow="1" firstDataCol="1"/>
  <pivotFields count="11">
    <pivotField showAll="0">
      <items count="5">
        <item x="3"/>
        <item x="2"/>
        <item x="1"/>
        <item x="0"/>
        <item t="default"/>
      </items>
    </pivotField>
    <pivotField axis="axisRow" showAll="0">
      <items count="16">
        <item x="4"/>
        <item x="0"/>
        <item x="2"/>
        <item x="6"/>
        <item x="1"/>
        <item x="3"/>
        <item x="11"/>
        <item x="13"/>
        <item x="12"/>
        <item x="7"/>
        <item x="8"/>
        <item x="9"/>
        <item x="10"/>
        <item x="14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a Recebe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2C7F0-6769-47ED-9F0C-91A0C783EA4F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Mês">
  <location ref="E13:F25" firstHeaderRow="1" firstDataRow="1" firstDataCol="1"/>
  <pivotFields count="11"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axis="axisRow" showAll="0">
      <items count="12">
        <item x="5"/>
        <item x="6"/>
        <item x="3"/>
        <item x="2"/>
        <item x="7"/>
        <item x="8"/>
        <item x="9"/>
        <item x="10"/>
        <item x="0"/>
        <item x="4"/>
        <item x="1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a Recebe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" xr10:uid="{E9557124-D099-41B4-A8FB-336810173B5E}" sourceName="Setor">
  <pivotTables>
    <pivotTable tabId="3" name="Tabela dinâmica5"/>
  </pivotTables>
  <data>
    <tabular pivotCacheId="1045585592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F30B5D83-2D79-47D3-B27A-B7744B735274}" sourceName="Ano">
  <pivotTables>
    <pivotTable tabId="3" name="Tabela dinâmica5"/>
    <pivotTable tabId="3" name="Tabela dinâmica2"/>
    <pivotTable tabId="3" name="Tabela dinâmica6"/>
  </pivotTables>
  <data>
    <tabular pivotCacheId="104558559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16607EE6-2445-43A6-92C3-4D6D0CEE1895}" sourceName="Unidade">
  <pivotTables>
    <pivotTable tabId="3" name="Tabela dinâmica6"/>
  </pivotTables>
  <data>
    <tabular pivotCacheId="1045585592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tor" xr10:uid="{32C5867E-0C79-4FA3-BAA1-909BB8F2C81B}" cache="SegmentaçãodeDados_Setor" caption="Setor" rowHeight="234950"/>
  <slicer name="Ano 1" xr10:uid="{C0F69015-456F-4988-871A-AA0859E51288}" cache="SegmentaçãodeDados_Ano" caption="Ano" rowHeight="234950"/>
  <slicer name="Unidade" xr10:uid="{6F9AD052-E48E-42AF-BDDD-AFD4C063D42B}" cache="SegmentaçãodeDados_Unidade" caption="Unidad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tor 1" xr10:uid="{B7CE72DD-3E6B-48CA-AD26-E0D24D95AF83}" cache="SegmentaçãodeDados_Setor" caption="Setor" rowHeight="234950"/>
  <slicer name="Ano 2" xr10:uid="{5E4204AC-50DB-4471-8669-58CBFB26D690}" cache="SegmentaçãodeDados_Ano" caption="Ano" rowHeight="234950"/>
  <slicer name="Unidade 1" xr10:uid="{07CCABD5-72DD-40ED-82CC-E7D7E7BF394E}" cache="SegmentaçãodeDados_Unidade" caption="Unidad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DA55A-86AC-426F-8BA7-9FB6E7973500}" name="Tabela2" displayName="Tabela2" ref="A1:K22" totalsRowShown="0" headerRowDxfId="15" dataDxfId="13" headerRowBorderDxfId="14" tableBorderDxfId="12" totalsRowBorderDxfId="11">
  <autoFilter ref="A1:K22" xr:uid="{BD3DA55A-86AC-426F-8BA7-9FB6E7973500}"/>
  <tableColumns count="11">
    <tableColumn id="1" xr3:uid="{0C327EE2-6EC2-49DD-AA41-487157CB1166}" name="Unidade" dataDxfId="10"/>
    <tableColumn id="2" xr3:uid="{01062E8B-6DB9-4C45-BB20-2104863A275E}" name="Funcionário" dataDxfId="9"/>
    <tableColumn id="3" xr3:uid="{3A438B70-0DCA-4019-B5B6-A7052039AB9B}" name="Setor" dataDxfId="8"/>
    <tableColumn id="4" xr3:uid="{71BC286C-CF19-45E8-853E-B0FBEF513EE7}" name="Data" dataDxfId="7"/>
    <tableColumn id="5" xr3:uid="{D1AABF41-C28C-4B97-ABD1-48D7AF0BDD02}" name="Horário Entrada" dataDxfId="6"/>
    <tableColumn id="6" xr3:uid="{AB3D89C0-5B82-4E2D-B31D-C02BAC81912D}" name="Horário Saída" dataDxfId="5"/>
    <tableColumn id="7" xr3:uid="{5B62AB95-80D3-4157-BFFA-FCA66961D12A}" name="Horas Trabalhadas" dataDxfId="4"/>
    <tableColumn id="8" xr3:uid="{E86B63C3-257E-44FF-8FB8-348CBB63533E}" name="Horas Extras" dataDxfId="3"/>
    <tableColumn id="9" xr3:uid="{16E1B72E-88CD-45E9-89C4-A6D152A1473B}" name="Valor a Receber" dataDxfId="2"/>
    <tableColumn id="10" xr3:uid="{2D9F956D-BE5E-458B-8D66-2D5388DFA97C}" name="Ano" dataDxfId="1"/>
    <tableColumn id="11" xr3:uid="{0D850423-CB6E-4D5A-83CC-8FA3DA48E9F9}" name="Mê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N21" sqref="N21"/>
    </sheetView>
  </sheetViews>
  <sheetFormatPr defaultRowHeight="14.4" x14ac:dyDescent="0.3"/>
  <cols>
    <col min="1" max="1" width="12.44140625" bestFit="1" customWidth="1"/>
    <col min="2" max="2" width="12.44140625" customWidth="1"/>
    <col min="3" max="3" width="9.44140625" bestFit="1" customWidth="1"/>
    <col min="4" max="4" width="10.5546875" bestFit="1" customWidth="1"/>
    <col min="5" max="5" width="15.88671875" customWidth="1"/>
    <col min="6" max="6" width="13.88671875" customWidth="1"/>
    <col min="7" max="7" width="18" customWidth="1"/>
    <col min="8" max="8" width="13.109375" customWidth="1"/>
    <col min="9" max="9" width="15.77734375" customWidth="1"/>
    <col min="10" max="10" width="6.109375" customWidth="1"/>
    <col min="11" max="11" width="6.33203125" customWidth="1"/>
  </cols>
  <sheetData>
    <row r="1" spans="1:11" ht="27.6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ht="15" thickBot="1" x14ac:dyDescent="0.35">
      <c r="A2" s="4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8.5500000000000007</v>
      </c>
      <c r="J2" s="2">
        <v>2023</v>
      </c>
      <c r="K2" s="5" t="s">
        <v>19</v>
      </c>
    </row>
    <row r="3" spans="1:11" ht="15" thickBot="1" x14ac:dyDescent="0.35">
      <c r="A3" s="4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3">
        <v>0</v>
      </c>
      <c r="J3" s="2">
        <v>2022</v>
      </c>
      <c r="K3" s="5" t="s">
        <v>19</v>
      </c>
    </row>
    <row r="4" spans="1:11" ht="15" thickBot="1" x14ac:dyDescent="0.35">
      <c r="A4" s="4" t="s">
        <v>28</v>
      </c>
      <c r="B4" s="2" t="s">
        <v>29</v>
      </c>
      <c r="C4" s="2" t="s">
        <v>22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>
        <v>14.72</v>
      </c>
      <c r="J4" s="2">
        <v>2023</v>
      </c>
      <c r="K4" s="5" t="s">
        <v>35</v>
      </c>
    </row>
    <row r="5" spans="1:11" ht="15" thickBot="1" x14ac:dyDescent="0.35">
      <c r="A5" s="4" t="s">
        <v>28</v>
      </c>
      <c r="B5" s="2" t="s">
        <v>36</v>
      </c>
      <c r="C5" s="2" t="s">
        <v>37</v>
      </c>
      <c r="D5" s="2" t="s">
        <v>38</v>
      </c>
      <c r="E5" s="2" t="s">
        <v>24</v>
      </c>
      <c r="F5" s="2" t="s">
        <v>25</v>
      </c>
      <c r="G5" s="2" t="s">
        <v>26</v>
      </c>
      <c r="H5" s="2" t="s">
        <v>27</v>
      </c>
      <c r="I5" s="3">
        <v>0</v>
      </c>
      <c r="J5" s="2">
        <v>2022</v>
      </c>
      <c r="K5" s="5" t="s">
        <v>39</v>
      </c>
    </row>
    <row r="6" spans="1:11" ht="15" thickBot="1" x14ac:dyDescent="0.35">
      <c r="A6" s="4" t="s">
        <v>40</v>
      </c>
      <c r="B6" s="2" t="s">
        <v>41</v>
      </c>
      <c r="C6" s="2" t="s">
        <v>13</v>
      </c>
      <c r="D6" s="2" t="s">
        <v>42</v>
      </c>
      <c r="E6" s="2" t="s">
        <v>24</v>
      </c>
      <c r="F6" s="2" t="s">
        <v>25</v>
      </c>
      <c r="G6" s="2" t="s">
        <v>26</v>
      </c>
      <c r="H6" s="2" t="s">
        <v>27</v>
      </c>
      <c r="I6" s="3">
        <v>0</v>
      </c>
      <c r="J6" s="2">
        <v>2022</v>
      </c>
      <c r="K6" s="5" t="s">
        <v>43</v>
      </c>
    </row>
    <row r="7" spans="1:11" ht="15" thickBot="1" x14ac:dyDescent="0.35">
      <c r="A7" s="4" t="s">
        <v>11</v>
      </c>
      <c r="B7" s="2" t="s">
        <v>44</v>
      </c>
      <c r="C7" s="2" t="s">
        <v>22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3">
        <v>13.03</v>
      </c>
      <c r="J7" s="2">
        <v>2023</v>
      </c>
      <c r="K7" s="5" t="s">
        <v>50</v>
      </c>
    </row>
    <row r="8" spans="1:11" ht="15" thickBot="1" x14ac:dyDescent="0.35">
      <c r="A8" s="4" t="s">
        <v>40</v>
      </c>
      <c r="B8" s="2" t="s">
        <v>51</v>
      </c>
      <c r="C8" s="2" t="s">
        <v>22</v>
      </c>
      <c r="D8" s="2" t="s">
        <v>52</v>
      </c>
      <c r="E8" s="2" t="s">
        <v>53</v>
      </c>
      <c r="F8" s="2" t="s">
        <v>32</v>
      </c>
      <c r="G8" s="2" t="s">
        <v>54</v>
      </c>
      <c r="H8" s="2" t="s">
        <v>55</v>
      </c>
      <c r="I8" s="3">
        <v>5.17</v>
      </c>
      <c r="J8" s="2">
        <v>2022</v>
      </c>
      <c r="K8" s="5" t="s">
        <v>19</v>
      </c>
    </row>
    <row r="9" spans="1:11" ht="15" thickBot="1" x14ac:dyDescent="0.35">
      <c r="A9" s="4" t="s">
        <v>20</v>
      </c>
      <c r="B9" s="2" t="s">
        <v>21</v>
      </c>
      <c r="C9" s="2" t="s">
        <v>22</v>
      </c>
      <c r="D9" s="2" t="s">
        <v>56</v>
      </c>
      <c r="E9" s="2" t="s">
        <v>24</v>
      </c>
      <c r="F9" s="2" t="s">
        <v>32</v>
      </c>
      <c r="G9" s="2" t="s">
        <v>57</v>
      </c>
      <c r="H9" s="2" t="s">
        <v>58</v>
      </c>
      <c r="I9" s="3">
        <v>5.57</v>
      </c>
      <c r="J9" s="2">
        <v>2023</v>
      </c>
      <c r="K9" s="5" t="s">
        <v>19</v>
      </c>
    </row>
    <row r="10" spans="1:11" ht="15" thickBot="1" x14ac:dyDescent="0.35">
      <c r="A10" s="4" t="s">
        <v>20</v>
      </c>
      <c r="B10" s="2" t="s">
        <v>59</v>
      </c>
      <c r="C10" s="2" t="s">
        <v>60</v>
      </c>
      <c r="D10" s="2" t="s">
        <v>61</v>
      </c>
      <c r="E10" s="2" t="s">
        <v>24</v>
      </c>
      <c r="F10" s="2" t="s">
        <v>62</v>
      </c>
      <c r="G10" s="2" t="s">
        <v>63</v>
      </c>
      <c r="H10" s="2" t="s">
        <v>64</v>
      </c>
      <c r="I10" s="3">
        <v>2.8</v>
      </c>
      <c r="J10" s="2">
        <v>2022</v>
      </c>
      <c r="K10" s="5" t="s">
        <v>65</v>
      </c>
    </row>
    <row r="11" spans="1:11" ht="15" thickBot="1" x14ac:dyDescent="0.35">
      <c r="A11" s="4" t="s">
        <v>20</v>
      </c>
      <c r="B11" s="2" t="s">
        <v>66</v>
      </c>
      <c r="C11" s="2" t="s">
        <v>22</v>
      </c>
      <c r="D11" s="2" t="s">
        <v>67</v>
      </c>
      <c r="E11" s="2" t="s">
        <v>24</v>
      </c>
      <c r="F11" s="2" t="s">
        <v>25</v>
      </c>
      <c r="G11" s="2" t="s">
        <v>26</v>
      </c>
      <c r="H11" s="2" t="s">
        <v>27</v>
      </c>
      <c r="I11" s="3">
        <v>0</v>
      </c>
      <c r="J11" s="2">
        <v>2022</v>
      </c>
      <c r="K11" s="5" t="s">
        <v>68</v>
      </c>
    </row>
    <row r="12" spans="1:11" ht="15" thickBot="1" x14ac:dyDescent="0.35">
      <c r="A12" s="4" t="s">
        <v>11</v>
      </c>
      <c r="B12" s="2" t="s">
        <v>69</v>
      </c>
      <c r="C12" s="2" t="s">
        <v>13</v>
      </c>
      <c r="D12" s="2" t="s">
        <v>70</v>
      </c>
      <c r="E12" s="2" t="s">
        <v>46</v>
      </c>
      <c r="F12" s="2" t="s">
        <v>25</v>
      </c>
      <c r="G12" s="2" t="s">
        <v>71</v>
      </c>
      <c r="H12" s="2" t="s">
        <v>72</v>
      </c>
      <c r="I12" s="3">
        <v>6.36</v>
      </c>
      <c r="J12" s="2">
        <v>2022</v>
      </c>
      <c r="K12" s="5" t="s">
        <v>73</v>
      </c>
    </row>
    <row r="13" spans="1:11" ht="15" thickBot="1" x14ac:dyDescent="0.35">
      <c r="A13" s="4" t="s">
        <v>40</v>
      </c>
      <c r="B13" s="2" t="s">
        <v>74</v>
      </c>
      <c r="C13" s="2" t="s">
        <v>60</v>
      </c>
      <c r="D13" s="2" t="s">
        <v>75</v>
      </c>
      <c r="E13" s="2" t="s">
        <v>46</v>
      </c>
      <c r="F13" s="2" t="s">
        <v>76</v>
      </c>
      <c r="G13" s="2" t="s">
        <v>77</v>
      </c>
      <c r="H13" s="2" t="s">
        <v>78</v>
      </c>
      <c r="I13" s="3">
        <v>9.91</v>
      </c>
      <c r="J13" s="2">
        <v>2022</v>
      </c>
      <c r="K13" s="5" t="s">
        <v>50</v>
      </c>
    </row>
    <row r="14" spans="1:11" ht="15" thickBot="1" x14ac:dyDescent="0.35">
      <c r="A14" s="4" t="s">
        <v>40</v>
      </c>
      <c r="B14" s="2" t="s">
        <v>51</v>
      </c>
      <c r="C14" s="2" t="s">
        <v>22</v>
      </c>
      <c r="D14" s="2" t="s">
        <v>79</v>
      </c>
      <c r="E14" s="2" t="s">
        <v>24</v>
      </c>
      <c r="F14" s="2" t="s">
        <v>32</v>
      </c>
      <c r="G14" s="2" t="s">
        <v>57</v>
      </c>
      <c r="H14" s="2" t="s">
        <v>58</v>
      </c>
      <c r="I14" s="3">
        <v>5.89</v>
      </c>
      <c r="J14" s="2">
        <v>2022</v>
      </c>
      <c r="K14" s="5" t="s">
        <v>80</v>
      </c>
    </row>
    <row r="15" spans="1:11" ht="15" thickBot="1" x14ac:dyDescent="0.35">
      <c r="A15" s="4" t="s">
        <v>40</v>
      </c>
      <c r="B15" s="2" t="s">
        <v>81</v>
      </c>
      <c r="C15" s="2" t="s">
        <v>13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86</v>
      </c>
      <c r="I15" s="3">
        <v>14.18</v>
      </c>
      <c r="J15" s="2">
        <v>2023</v>
      </c>
      <c r="K15" s="5" t="s">
        <v>50</v>
      </c>
    </row>
    <row r="16" spans="1:11" ht="15" thickBot="1" x14ac:dyDescent="0.35">
      <c r="A16" s="4" t="s">
        <v>11</v>
      </c>
      <c r="B16" s="2" t="s">
        <v>87</v>
      </c>
      <c r="C16" s="2" t="s">
        <v>60</v>
      </c>
      <c r="D16" s="2" t="s">
        <v>88</v>
      </c>
      <c r="E16" s="2" t="s">
        <v>24</v>
      </c>
      <c r="F16" s="2" t="s">
        <v>76</v>
      </c>
      <c r="G16" s="2" t="s">
        <v>89</v>
      </c>
      <c r="H16" s="2" t="s">
        <v>90</v>
      </c>
      <c r="I16" s="3">
        <v>2.06</v>
      </c>
      <c r="J16" s="2">
        <v>2023</v>
      </c>
      <c r="K16" s="5" t="s">
        <v>80</v>
      </c>
    </row>
    <row r="17" spans="1:11" ht="15" thickBot="1" x14ac:dyDescent="0.35">
      <c r="A17" s="4" t="s">
        <v>20</v>
      </c>
      <c r="B17" s="2" t="s">
        <v>91</v>
      </c>
      <c r="C17" s="2" t="s">
        <v>60</v>
      </c>
      <c r="D17" s="2" t="s">
        <v>92</v>
      </c>
      <c r="E17" s="2" t="s">
        <v>83</v>
      </c>
      <c r="F17" s="2" t="s">
        <v>76</v>
      </c>
      <c r="G17" s="2" t="s">
        <v>93</v>
      </c>
      <c r="H17" s="2" t="s">
        <v>94</v>
      </c>
      <c r="I17" s="3">
        <v>6.69</v>
      </c>
      <c r="J17" s="2">
        <v>2022</v>
      </c>
      <c r="K17" s="5" t="s">
        <v>95</v>
      </c>
    </row>
    <row r="18" spans="1:11" ht="15" thickBot="1" x14ac:dyDescent="0.35">
      <c r="A18" s="4" t="s">
        <v>28</v>
      </c>
      <c r="B18" s="2" t="s">
        <v>96</v>
      </c>
      <c r="C18" s="2" t="s">
        <v>37</v>
      </c>
      <c r="D18" s="2" t="s">
        <v>97</v>
      </c>
      <c r="E18" s="2" t="s">
        <v>24</v>
      </c>
      <c r="F18" s="2" t="s">
        <v>76</v>
      </c>
      <c r="G18" s="2" t="s">
        <v>89</v>
      </c>
      <c r="H18" s="2" t="s">
        <v>90</v>
      </c>
      <c r="I18" s="3">
        <v>1.78</v>
      </c>
      <c r="J18" s="2">
        <v>2022</v>
      </c>
      <c r="K18" s="5" t="s">
        <v>65</v>
      </c>
    </row>
    <row r="19" spans="1:11" ht="15" thickBot="1" x14ac:dyDescent="0.35">
      <c r="A19" s="4" t="s">
        <v>11</v>
      </c>
      <c r="B19" s="2" t="s">
        <v>44</v>
      </c>
      <c r="C19" s="2" t="s">
        <v>22</v>
      </c>
      <c r="D19" s="2" t="s">
        <v>98</v>
      </c>
      <c r="E19" s="2" t="s">
        <v>24</v>
      </c>
      <c r="F19" s="2" t="s">
        <v>76</v>
      </c>
      <c r="G19" s="2" t="s">
        <v>89</v>
      </c>
      <c r="H19" s="2" t="s">
        <v>90</v>
      </c>
      <c r="I19" s="3">
        <v>2.06</v>
      </c>
      <c r="J19" s="2">
        <v>2022</v>
      </c>
      <c r="K19" s="5" t="s">
        <v>99</v>
      </c>
    </row>
    <row r="20" spans="1:11" ht="15" thickBot="1" x14ac:dyDescent="0.35">
      <c r="A20" s="4" t="s">
        <v>20</v>
      </c>
      <c r="B20" s="2" t="s">
        <v>59</v>
      </c>
      <c r="C20" s="2" t="s">
        <v>60</v>
      </c>
      <c r="D20" s="2" t="s">
        <v>100</v>
      </c>
      <c r="E20" s="2" t="s">
        <v>24</v>
      </c>
      <c r="F20" s="2" t="s">
        <v>32</v>
      </c>
      <c r="G20" s="2" t="s">
        <v>57</v>
      </c>
      <c r="H20" s="2" t="s">
        <v>58</v>
      </c>
      <c r="I20" s="3">
        <v>5.09</v>
      </c>
      <c r="J20" s="2">
        <v>2022</v>
      </c>
      <c r="K20" s="5" t="s">
        <v>99</v>
      </c>
    </row>
    <row r="21" spans="1:11" ht="15" thickBot="1" x14ac:dyDescent="0.35">
      <c r="A21" s="4" t="s">
        <v>11</v>
      </c>
      <c r="B21" s="2" t="s">
        <v>44</v>
      </c>
      <c r="C21" s="2" t="s">
        <v>22</v>
      </c>
      <c r="D21" s="2" t="s">
        <v>101</v>
      </c>
      <c r="E21" s="2" t="s">
        <v>83</v>
      </c>
      <c r="F21" s="2" t="s">
        <v>76</v>
      </c>
      <c r="G21" s="2" t="s">
        <v>93</v>
      </c>
      <c r="H21" s="2" t="s">
        <v>94</v>
      </c>
      <c r="I21" s="3">
        <v>6.69</v>
      </c>
      <c r="J21" s="2">
        <v>2022</v>
      </c>
      <c r="K21" s="5" t="s">
        <v>39</v>
      </c>
    </row>
    <row r="22" spans="1:11" x14ac:dyDescent="0.3">
      <c r="A22" s="9" t="s">
        <v>11</v>
      </c>
      <c r="B22" s="10" t="s">
        <v>87</v>
      </c>
      <c r="C22" s="10" t="s">
        <v>60</v>
      </c>
      <c r="D22" s="10" t="s">
        <v>102</v>
      </c>
      <c r="E22" s="10" t="s">
        <v>103</v>
      </c>
      <c r="F22" s="10" t="s">
        <v>62</v>
      </c>
      <c r="G22" s="10" t="s">
        <v>104</v>
      </c>
      <c r="H22" s="10" t="s">
        <v>105</v>
      </c>
      <c r="I22" s="11">
        <v>16.32</v>
      </c>
      <c r="J22" s="10">
        <v>2022</v>
      </c>
      <c r="K22" s="1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144A-9CCC-4D06-9675-AA486EDCFF70}">
  <dimension ref="C2:F25"/>
  <sheetViews>
    <sheetView zoomScale="85" zoomScaleNormal="85" workbookViewId="0">
      <selection activeCell="F28" sqref="F28"/>
    </sheetView>
  </sheetViews>
  <sheetFormatPr defaultRowHeight="14.4" x14ac:dyDescent="0.3"/>
  <cols>
    <col min="1" max="1" width="17.21875" bestFit="1" customWidth="1"/>
    <col min="2" max="2" width="10.88671875" customWidth="1"/>
    <col min="3" max="3" width="12.77734375" bestFit="1" customWidth="1"/>
    <col min="4" max="4" width="23.5546875" bestFit="1" customWidth="1"/>
    <col min="5" max="5" width="10.6640625" bestFit="1" customWidth="1"/>
    <col min="6" max="6" width="23.5546875" bestFit="1" customWidth="1"/>
    <col min="7" max="8" width="22.21875" bestFit="1" customWidth="1"/>
    <col min="9" max="9" width="24.44140625" bestFit="1" customWidth="1"/>
    <col min="10" max="10" width="22.21875" bestFit="1" customWidth="1"/>
  </cols>
  <sheetData>
    <row r="2" spans="3:6" x14ac:dyDescent="0.3">
      <c r="C2" s="13" t="s">
        <v>1</v>
      </c>
      <c r="D2" t="s">
        <v>107</v>
      </c>
      <c r="E2" s="13" t="s">
        <v>2</v>
      </c>
      <c r="F2" t="s">
        <v>107</v>
      </c>
    </row>
    <row r="3" spans="3:6" x14ac:dyDescent="0.3">
      <c r="C3" s="14" t="s">
        <v>41</v>
      </c>
      <c r="D3" s="1">
        <v>0</v>
      </c>
      <c r="E3" s="14" t="s">
        <v>22</v>
      </c>
      <c r="F3" s="1">
        <v>53.13</v>
      </c>
    </row>
    <row r="4" spans="3:6" x14ac:dyDescent="0.3">
      <c r="C4" s="14" t="s">
        <v>12</v>
      </c>
      <c r="D4" s="1">
        <v>8.5500000000000007</v>
      </c>
      <c r="E4" s="14" t="s">
        <v>37</v>
      </c>
      <c r="F4" s="1">
        <v>1.78</v>
      </c>
    </row>
    <row r="5" spans="3:6" x14ac:dyDescent="0.3">
      <c r="C5" s="14" t="s">
        <v>29</v>
      </c>
      <c r="D5" s="1">
        <v>14.72</v>
      </c>
      <c r="E5" s="14" t="s">
        <v>13</v>
      </c>
      <c r="F5" s="1">
        <v>29.09</v>
      </c>
    </row>
    <row r="6" spans="3:6" x14ac:dyDescent="0.3">
      <c r="C6" s="14" t="s">
        <v>51</v>
      </c>
      <c r="D6" s="1">
        <v>11.059999999999999</v>
      </c>
      <c r="E6" s="14" t="s">
        <v>60</v>
      </c>
      <c r="F6" s="1">
        <v>42.870000000000005</v>
      </c>
    </row>
    <row r="7" spans="3:6" x14ac:dyDescent="0.3">
      <c r="C7" s="14" t="s">
        <v>21</v>
      </c>
      <c r="D7" s="1">
        <v>5.57</v>
      </c>
      <c r="E7" s="14" t="s">
        <v>106</v>
      </c>
      <c r="F7" s="1">
        <v>126.87</v>
      </c>
    </row>
    <row r="8" spans="3:6" x14ac:dyDescent="0.3">
      <c r="C8" s="14" t="s">
        <v>36</v>
      </c>
      <c r="D8" s="1">
        <v>0</v>
      </c>
    </row>
    <row r="9" spans="3:6" x14ac:dyDescent="0.3">
      <c r="C9" s="14" t="s">
        <v>81</v>
      </c>
      <c r="D9" s="1">
        <v>14.18</v>
      </c>
    </row>
    <row r="10" spans="3:6" x14ac:dyDescent="0.3">
      <c r="C10" s="14" t="s">
        <v>91</v>
      </c>
      <c r="D10" s="1">
        <v>6.69</v>
      </c>
    </row>
    <row r="11" spans="3:6" x14ac:dyDescent="0.3">
      <c r="C11" s="14" t="s">
        <v>87</v>
      </c>
      <c r="D11" s="1">
        <v>18.38</v>
      </c>
    </row>
    <row r="12" spans="3:6" x14ac:dyDescent="0.3">
      <c r="C12" s="14" t="s">
        <v>59</v>
      </c>
      <c r="D12" s="1">
        <v>7.89</v>
      </c>
    </row>
    <row r="13" spans="3:6" x14ac:dyDescent="0.3">
      <c r="C13" s="14" t="s">
        <v>66</v>
      </c>
      <c r="D13" s="1">
        <v>0</v>
      </c>
      <c r="E13" s="13" t="s">
        <v>10</v>
      </c>
      <c r="F13" t="s">
        <v>107</v>
      </c>
    </row>
    <row r="14" spans="3:6" x14ac:dyDescent="0.3">
      <c r="C14" s="14" t="s">
        <v>69</v>
      </c>
      <c r="D14" s="1">
        <v>6.36</v>
      </c>
      <c r="E14" s="14" t="s">
        <v>65</v>
      </c>
      <c r="F14" s="1">
        <v>4.58</v>
      </c>
    </row>
    <row r="15" spans="3:6" x14ac:dyDescent="0.3">
      <c r="C15" s="14" t="s">
        <v>74</v>
      </c>
      <c r="D15" s="1">
        <v>9.91</v>
      </c>
      <c r="E15" s="14" t="s">
        <v>68</v>
      </c>
      <c r="F15" s="1">
        <v>0</v>
      </c>
    </row>
    <row r="16" spans="3:6" x14ac:dyDescent="0.3">
      <c r="C16" s="14" t="s">
        <v>96</v>
      </c>
      <c r="D16" s="1">
        <v>1.78</v>
      </c>
      <c r="E16" s="14" t="s">
        <v>43</v>
      </c>
      <c r="F16" s="1">
        <v>0</v>
      </c>
    </row>
    <row r="17" spans="3:6" x14ac:dyDescent="0.3">
      <c r="C17" s="14" t="s">
        <v>44</v>
      </c>
      <c r="D17" s="1">
        <v>21.78</v>
      </c>
      <c r="E17" s="14" t="s">
        <v>39</v>
      </c>
      <c r="F17" s="1">
        <v>6.69</v>
      </c>
    </row>
    <row r="18" spans="3:6" x14ac:dyDescent="0.3">
      <c r="C18" s="14" t="s">
        <v>106</v>
      </c>
      <c r="D18" s="1">
        <v>126.86999999999999</v>
      </c>
      <c r="E18" s="14" t="s">
        <v>73</v>
      </c>
      <c r="F18" s="1">
        <v>6.36</v>
      </c>
    </row>
    <row r="19" spans="3:6" x14ac:dyDescent="0.3">
      <c r="E19" s="14" t="s">
        <v>80</v>
      </c>
      <c r="F19" s="1">
        <v>7.9499999999999993</v>
      </c>
    </row>
    <row r="20" spans="3:6" x14ac:dyDescent="0.3">
      <c r="C20" s="13" t="s">
        <v>108</v>
      </c>
      <c r="D20" t="s">
        <v>107</v>
      </c>
      <c r="E20" s="14" t="s">
        <v>95</v>
      </c>
      <c r="F20" s="1">
        <v>6.69</v>
      </c>
    </row>
    <row r="21" spans="3:6" x14ac:dyDescent="0.3">
      <c r="C21" s="14" t="s">
        <v>40</v>
      </c>
      <c r="D21" s="1">
        <v>35.15</v>
      </c>
      <c r="E21" s="14" t="s">
        <v>99</v>
      </c>
      <c r="F21" s="1">
        <v>7.15</v>
      </c>
    </row>
    <row r="22" spans="3:6" x14ac:dyDescent="0.3">
      <c r="C22" s="14" t="s">
        <v>28</v>
      </c>
      <c r="D22" s="1">
        <v>16.5</v>
      </c>
      <c r="E22" s="14" t="s">
        <v>19</v>
      </c>
      <c r="F22" s="1">
        <v>35.61</v>
      </c>
    </row>
    <row r="23" spans="3:6" x14ac:dyDescent="0.3">
      <c r="C23" s="14" t="s">
        <v>20</v>
      </c>
      <c r="D23" s="1">
        <v>20.150000000000002</v>
      </c>
      <c r="E23" s="14" t="s">
        <v>50</v>
      </c>
      <c r="F23" s="1">
        <v>37.119999999999997</v>
      </c>
    </row>
    <row r="24" spans="3:6" x14ac:dyDescent="0.3">
      <c r="C24" s="14" t="s">
        <v>11</v>
      </c>
      <c r="D24" s="1">
        <v>55.069999999999993</v>
      </c>
      <c r="E24" s="14" t="s">
        <v>35</v>
      </c>
      <c r="F24" s="1">
        <v>14.72</v>
      </c>
    </row>
    <row r="25" spans="3:6" x14ac:dyDescent="0.3">
      <c r="C25" s="14" t="s">
        <v>106</v>
      </c>
      <c r="D25" s="1">
        <v>126.86999999999999</v>
      </c>
      <c r="E25" s="14" t="s">
        <v>106</v>
      </c>
      <c r="F25" s="1">
        <v>126.87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F3B9-0A2B-47A9-8816-7EA67725E1EF}">
  <dimension ref="A1"/>
  <sheetViews>
    <sheetView tabSelected="1" view="pageBreakPreview" zoomScale="70" zoomScaleNormal="81" zoomScaleSheetLayoutView="70" workbookViewId="0">
      <selection activeCell="Z11" sqref="Z1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Funcionarios</vt:lpstr>
      <vt:lpstr>Gráficos e tabelas dinâmicas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klebergomesmpc@outlook.com</cp:lastModifiedBy>
  <dcterms:created xsi:type="dcterms:W3CDTF">2026-07-24T22:14:03Z</dcterms:created>
  <dcterms:modified xsi:type="dcterms:W3CDTF">2026-07-27T13:57:00Z</dcterms:modified>
</cp:coreProperties>
</file>